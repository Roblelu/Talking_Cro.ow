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7a23cf551224e47/Escritorio/Hevel World/Patiidu/Talking Crow/"/>
    </mc:Choice>
  </mc:AlternateContent>
  <xr:revisionPtr revIDLastSave="5" documentId="11_0B41AF2F1161761E6C1C2C375F148EF82263852F" xr6:coauthVersionLast="47" xr6:coauthVersionMax="47" xr10:uidLastSave="{13CA6C30-98EA-4333-BF62-231CDD565F25}"/>
  <bookViews>
    <workbookView xWindow="31080" yWindow="2850" windowWidth="21600" windowHeight="11295" xr2:uid="{00000000-000D-0000-FFFF-FFFF00000000}"/>
  </bookViews>
  <sheets>
    <sheet name="Econom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6" i="1" s="1"/>
  <c r="F13" i="1"/>
  <c r="E13" i="1"/>
  <c r="D13" i="1"/>
  <c r="F12" i="1"/>
  <c r="E12" i="1"/>
  <c r="D12" i="1"/>
  <c r="F11" i="1"/>
  <c r="E11" i="1"/>
  <c r="D11" i="1"/>
  <c r="F10" i="1"/>
  <c r="E10" i="1"/>
  <c r="D10" i="1"/>
  <c r="G10" i="1" s="1"/>
  <c r="H10" i="1" s="1"/>
  <c r="I10" i="1" s="1"/>
  <c r="F9" i="1"/>
  <c r="E9" i="1"/>
  <c r="D9" i="1"/>
  <c r="F8" i="1"/>
  <c r="E8" i="1"/>
  <c r="D8" i="1"/>
  <c r="F7" i="1"/>
  <c r="E7" i="1"/>
  <c r="D7" i="1"/>
  <c r="G7" i="1" s="1"/>
  <c r="H7" i="1" s="1"/>
  <c r="I7" i="1" s="1"/>
  <c r="F6" i="1"/>
  <c r="E6" i="1"/>
  <c r="D6" i="1"/>
  <c r="G6" i="1" l="1"/>
  <c r="H6" i="1" s="1"/>
  <c r="I6" i="1" s="1"/>
  <c r="G12" i="1"/>
  <c r="H12" i="1" s="1"/>
  <c r="I12" i="1" s="1"/>
  <c r="G9" i="1"/>
  <c r="H9" i="1" s="1"/>
  <c r="I9" i="1" s="1"/>
  <c r="G13" i="1"/>
  <c r="H13" i="1" s="1"/>
  <c r="I13" i="1" s="1"/>
  <c r="G11" i="1"/>
  <c r="H11" i="1" s="1"/>
  <c r="I11" i="1" s="1"/>
  <c r="G8" i="1"/>
  <c r="H8" i="1" s="1"/>
  <c r="I8" i="1" s="1"/>
</calcChain>
</file>

<file path=xl/sharedStrings.xml><?xml version="1.0" encoding="utf-8"?>
<sst xmlns="http://schemas.openxmlformats.org/spreadsheetml/2006/main" count="29" uniqueCount="29">
  <si>
    <t>Variables Globales</t>
  </si>
  <si>
    <t>% Comisión Streamer (del ingreso bruto):</t>
  </si>
  <si>
    <t>Costo API TTS Clonado (1 msj = 12 Croins):</t>
  </si>
  <si>
    <t>Paquete</t>
  </si>
  <si>
    <t>Precio (MXN)</t>
  </si>
  <si>
    <t>Croins</t>
  </si>
  <si>
    <t>Costo Stripe</t>
  </si>
  <si>
    <t>Costo API (Max)</t>
  </si>
  <si>
    <t>Comisión Streamer</t>
  </si>
  <si>
    <t>Costo Total</t>
  </si>
  <si>
    <t>Margen Neto ($)</t>
  </si>
  <si>
    <t>Margen Neto (%)</t>
  </si>
  <si>
    <t>Paquete 1</t>
  </si>
  <si>
    <t>Paquete 2</t>
  </si>
  <si>
    <t>Paquete 3</t>
  </si>
  <si>
    <t>Paquete 4</t>
  </si>
  <si>
    <t>Paquete 5</t>
  </si>
  <si>
    <t>Paquete 6</t>
  </si>
  <si>
    <t>Paquete 7</t>
  </si>
  <si>
    <t>Paquete 8</t>
  </si>
  <si>
    <t>Calculadora Mensual (Costos Fijos)</t>
  </si>
  <si>
    <t>Margen Neto Acumulado (Ventas Mensuales):</t>
  </si>
  <si>
    <t>Costos Fijos Mensuales:</t>
  </si>
  <si>
    <t>Firebase</t>
  </si>
  <si>
    <t>Dreamhost</t>
  </si>
  <si>
    <t>Euler Stream</t>
  </si>
  <si>
    <t>Otros (Stripe Fijo, Dominios)</t>
  </si>
  <si>
    <t>Total Costos Fijos:</t>
  </si>
  <si>
    <t>UTILIDAD NETA (Ganancia Final):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</si>
</sst>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9" fontId="0" fillId="2" borderId="0" xfId="0" applyNumberFormat="1" applyFill="1"/>
    <xf numFmtId="164" fontId="0" fillId="0" borderId="0" xfId="0" applyNumberFormat="1"/>
    <xf numFmtId="0" fontId="2" fillId="3" borderId="0" xfId="0" applyFont="1" applyFill="1"/>
    <xf numFmtId="10" fontId="0" fillId="0" borderId="0" xfId="0" applyNumberFormat="1"/>
    <xf numFmtId="164" fontId="0" fillId="2" borderId="0" xfId="0" applyNumberFormat="1" applyFill="1"/>
    <xf numFmtId="164" fontId="1" fillId="0" borderId="0" xfId="0" applyNumberFormat="1" applyFont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9" width="18" customWidth="1"/>
  </cols>
  <sheetData>
    <row r="1" spans="1:9" x14ac:dyDescent="0.25">
      <c r="A1" s="1" t="s">
        <v>0</v>
      </c>
    </row>
    <row r="2" spans="1:9" x14ac:dyDescent="0.25">
      <c r="A2" t="s">
        <v>1</v>
      </c>
      <c r="B2" s="2">
        <v>0.05</v>
      </c>
    </row>
    <row r="3" spans="1:9" x14ac:dyDescent="0.25">
      <c r="A3" t="s">
        <v>2</v>
      </c>
      <c r="B3" s="3">
        <v>0.6</v>
      </c>
    </row>
    <row r="5" spans="1:9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x14ac:dyDescent="0.25">
      <c r="A6" t="s">
        <v>12</v>
      </c>
      <c r="B6" s="3">
        <v>12</v>
      </c>
      <c r="C6">
        <v>28</v>
      </c>
      <c r="D6" s="3">
        <f t="shared" ref="D6:D13" si="0">(B6*0.036+3)*1.16</f>
        <v>3.9811199999999998</v>
      </c>
      <c r="E6" s="3">
        <f t="shared" ref="E6:E13" si="1">(C6/12)*$B$3</f>
        <v>1.4000000000000001</v>
      </c>
      <c r="F6" s="3">
        <f t="shared" ref="F6:F13" si="2">B6*$B$2</f>
        <v>0.60000000000000009</v>
      </c>
      <c r="G6" s="3">
        <f t="shared" ref="G6:G13" si="3">D6+E6+F6</f>
        <v>5.9811200000000007</v>
      </c>
      <c r="H6" s="3">
        <f t="shared" ref="H6:H13" si="4">B6-G6</f>
        <v>6.0188799999999993</v>
      </c>
      <c r="I6" s="5">
        <f t="shared" ref="I6:I13" si="5">H6/B6</f>
        <v>0.50157333333333332</v>
      </c>
    </row>
    <row r="7" spans="1:9" x14ac:dyDescent="0.25">
      <c r="A7" t="s">
        <v>13</v>
      </c>
      <c r="B7" s="3">
        <v>29</v>
      </c>
      <c r="C7">
        <v>110</v>
      </c>
      <c r="D7" s="3">
        <f t="shared" si="0"/>
        <v>4.6910399999999992</v>
      </c>
      <c r="E7" s="3">
        <f t="shared" si="1"/>
        <v>5.4999999999999991</v>
      </c>
      <c r="F7" s="3">
        <f t="shared" si="2"/>
        <v>1.4500000000000002</v>
      </c>
      <c r="G7" s="3">
        <f t="shared" si="3"/>
        <v>11.641039999999997</v>
      </c>
      <c r="H7" s="3">
        <f t="shared" si="4"/>
        <v>17.358960000000003</v>
      </c>
      <c r="I7" s="5">
        <f t="shared" si="5"/>
        <v>0.59858482758620701</v>
      </c>
    </row>
    <row r="8" spans="1:9" x14ac:dyDescent="0.25">
      <c r="A8" t="s">
        <v>14</v>
      </c>
      <c r="B8" s="3">
        <v>59</v>
      </c>
      <c r="C8">
        <v>270</v>
      </c>
      <c r="D8" s="3">
        <f t="shared" si="0"/>
        <v>5.9438399999999989</v>
      </c>
      <c r="E8" s="3">
        <f t="shared" si="1"/>
        <v>13.5</v>
      </c>
      <c r="F8" s="3">
        <f t="shared" si="2"/>
        <v>2.95</v>
      </c>
      <c r="G8" s="3">
        <f t="shared" si="3"/>
        <v>22.393839999999997</v>
      </c>
      <c r="H8" s="3">
        <f t="shared" si="4"/>
        <v>36.606160000000003</v>
      </c>
      <c r="I8" s="5">
        <f t="shared" si="5"/>
        <v>0.62044338983050851</v>
      </c>
    </row>
    <row r="9" spans="1:9" x14ac:dyDescent="0.25">
      <c r="A9" t="s">
        <v>15</v>
      </c>
      <c r="B9" s="3">
        <v>99</v>
      </c>
      <c r="C9">
        <v>500</v>
      </c>
      <c r="D9" s="3">
        <f t="shared" si="0"/>
        <v>7.6142399999999997</v>
      </c>
      <c r="E9" s="3">
        <f t="shared" si="1"/>
        <v>24.999999999999996</v>
      </c>
      <c r="F9" s="3">
        <f t="shared" si="2"/>
        <v>4.95</v>
      </c>
      <c r="G9" s="3">
        <f t="shared" si="3"/>
        <v>37.564239999999998</v>
      </c>
      <c r="H9" s="3">
        <f t="shared" si="4"/>
        <v>61.435760000000002</v>
      </c>
      <c r="I9" s="5">
        <f t="shared" si="5"/>
        <v>0.62056323232323229</v>
      </c>
    </row>
    <row r="10" spans="1:9" x14ac:dyDescent="0.25">
      <c r="A10" t="s">
        <v>16</v>
      </c>
      <c r="B10" s="3">
        <v>149</v>
      </c>
      <c r="C10">
        <v>850</v>
      </c>
      <c r="D10" s="3">
        <f t="shared" si="0"/>
        <v>9.7022399999999998</v>
      </c>
      <c r="E10" s="3">
        <f t="shared" si="1"/>
        <v>42.499999999999993</v>
      </c>
      <c r="F10" s="3">
        <f t="shared" si="2"/>
        <v>7.45</v>
      </c>
      <c r="G10" s="3">
        <f t="shared" si="3"/>
        <v>59.652239999999992</v>
      </c>
      <c r="H10" s="3">
        <f t="shared" si="4"/>
        <v>89.347760000000008</v>
      </c>
      <c r="I10" s="5">
        <f t="shared" si="5"/>
        <v>0.59964939597315436</v>
      </c>
    </row>
    <row r="11" spans="1:9" x14ac:dyDescent="0.25">
      <c r="A11" t="s">
        <v>17</v>
      </c>
      <c r="B11" s="3">
        <v>199</v>
      </c>
      <c r="C11">
        <v>1200</v>
      </c>
      <c r="D11" s="3">
        <f t="shared" si="0"/>
        <v>11.790239999999999</v>
      </c>
      <c r="E11" s="3">
        <f t="shared" si="1"/>
        <v>60</v>
      </c>
      <c r="F11" s="3">
        <f t="shared" si="2"/>
        <v>9.9500000000000011</v>
      </c>
      <c r="G11" s="3">
        <f t="shared" si="3"/>
        <v>81.74024</v>
      </c>
      <c r="H11" s="3">
        <f t="shared" si="4"/>
        <v>117.25976</v>
      </c>
      <c r="I11" s="5">
        <f t="shared" si="5"/>
        <v>0.58924502512562815</v>
      </c>
    </row>
    <row r="12" spans="1:9" x14ac:dyDescent="0.25">
      <c r="A12" t="s">
        <v>18</v>
      </c>
      <c r="B12" s="3">
        <v>299</v>
      </c>
      <c r="C12">
        <v>1900</v>
      </c>
      <c r="D12" s="3">
        <f t="shared" si="0"/>
        <v>15.966239999999997</v>
      </c>
      <c r="E12" s="3">
        <f t="shared" si="1"/>
        <v>95</v>
      </c>
      <c r="F12" s="3">
        <f t="shared" si="2"/>
        <v>14.950000000000001</v>
      </c>
      <c r="G12" s="3">
        <f t="shared" si="3"/>
        <v>125.91624</v>
      </c>
      <c r="H12" s="3">
        <f t="shared" si="4"/>
        <v>173.08375999999998</v>
      </c>
      <c r="I12" s="5">
        <f t="shared" si="5"/>
        <v>0.57887545150501662</v>
      </c>
    </row>
    <row r="13" spans="1:9" x14ac:dyDescent="0.25">
      <c r="A13" t="s">
        <v>19</v>
      </c>
      <c r="B13" s="3">
        <v>399</v>
      </c>
      <c r="C13">
        <v>2700</v>
      </c>
      <c r="D13" s="3">
        <f t="shared" si="0"/>
        <v>20.142239999999994</v>
      </c>
      <c r="E13" s="3">
        <f t="shared" si="1"/>
        <v>135</v>
      </c>
      <c r="F13" s="3">
        <f t="shared" si="2"/>
        <v>19.950000000000003</v>
      </c>
      <c r="G13" s="3">
        <f t="shared" si="3"/>
        <v>175.09224</v>
      </c>
      <c r="H13" s="3">
        <f t="shared" si="4"/>
        <v>223.90776</v>
      </c>
      <c r="I13" s="5">
        <f t="shared" si="5"/>
        <v>0.56117233082706763</v>
      </c>
    </row>
    <row r="16" spans="1:9" x14ac:dyDescent="0.25">
      <c r="A16" s="1" t="s">
        <v>20</v>
      </c>
    </row>
    <row r="17" spans="1:2" x14ac:dyDescent="0.25">
      <c r="A17" t="s">
        <v>21</v>
      </c>
      <c r="B17" s="6">
        <v>10000</v>
      </c>
    </row>
    <row r="18" spans="1:2" x14ac:dyDescent="0.25">
      <c r="A18" t="s">
        <v>22</v>
      </c>
    </row>
    <row r="19" spans="1:2" x14ac:dyDescent="0.25">
      <c r="A19" t="s">
        <v>23</v>
      </c>
      <c r="B19" s="3">
        <v>500</v>
      </c>
    </row>
    <row r="20" spans="1:2" x14ac:dyDescent="0.25">
      <c r="A20" t="s">
        <v>24</v>
      </c>
      <c r="B20" s="3">
        <v>300</v>
      </c>
    </row>
    <row r="21" spans="1:2" x14ac:dyDescent="0.25">
      <c r="A21" t="s">
        <v>25</v>
      </c>
      <c r="B21" s="3">
        <v>400</v>
      </c>
    </row>
    <row r="22" spans="1:2" x14ac:dyDescent="0.25">
      <c r="A22" t="s">
        <v>26</v>
      </c>
      <c r="B22" s="3">
        <v>100</v>
      </c>
    </row>
    <row r="24" spans="1:2" x14ac:dyDescent="0.25">
      <c r="A24" t="s">
        <v>27</v>
      </c>
      <c r="B24" s="7">
        <f>SUM(B19:B22)</f>
        <v>1300</v>
      </c>
    </row>
    <row r="26" spans="1:2" x14ac:dyDescent="0.25">
      <c r="A26" t="s">
        <v>28</v>
      </c>
      <c r="B26" s="8">
        <f>B17-B24</f>
        <v>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Economia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Martínez</cp:lastModifiedBy>
  <dcterms:created xsi:type="dcterms:W3CDTF">2026-08-09T08:47:33Z</dcterms:created>
  <dcterms:modified xsi:type="dcterms:W3CDTF">2026-08-10T20:38:24Z</dcterms:modified>
</cp:coreProperties>
</file>